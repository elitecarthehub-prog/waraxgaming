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cfad5994229f4891/Documents/computexstore/warax gaming/products/"/>
    </mc:Choice>
  </mc:AlternateContent>
  <xr:revisionPtr revIDLastSave="512" documentId="11_F25DC773A252ABDACC10482359DD762E5BDE58EC" xr6:coauthVersionLast="47" xr6:coauthVersionMax="47" xr10:uidLastSave="{B8A9383A-AA77-4B6D-802B-3D73708C7E29}"/>
  <bookViews>
    <workbookView xWindow="-110" yWindow="-110" windowWidth="19420" windowHeight="10300" firstSheet="1" activeTab="2" xr2:uid="{00000000-000D-0000-FFFF-FFFF00000000}"/>
  </bookViews>
  <sheets>
    <sheet name="CONTROLLERS" sheetId="1" r:id="rId1"/>
    <sheet name="CHARGING" sheetId="2" r:id="rId2"/>
    <sheet name="AUDIO" sheetId="3" r:id="rId3"/>
    <sheet name="STORAGE" sheetId="4" r:id="rId4"/>
    <sheet name="VR &amp; AR" sheetId="5" r:id="rId5"/>
    <sheet name="RACING" sheetId="6" r:id="rId6"/>
    <sheet name="ARCADE &amp; FIGHTING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3" l="1"/>
  <c r="E5" i="3"/>
  <c r="E6" i="3"/>
  <c r="E7" i="3"/>
  <c r="E8" i="3"/>
  <c r="E9" i="3"/>
  <c r="E10" i="3"/>
  <c r="E11" i="3"/>
  <c r="E3" i="3"/>
  <c r="E4" i="4"/>
  <c r="E5" i="4"/>
  <c r="E6" i="4"/>
  <c r="E7" i="4"/>
  <c r="E8" i="4"/>
  <c r="E9" i="4"/>
  <c r="E10" i="4"/>
  <c r="E3" i="4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9" i="7"/>
  <c r="E8" i="7"/>
  <c r="E7" i="7"/>
  <c r="E6" i="7"/>
  <c r="E5" i="7"/>
  <c r="E4" i="7"/>
  <c r="E3" i="7"/>
  <c r="E3" i="6"/>
  <c r="E15" i="5"/>
  <c r="E14" i="5"/>
  <c r="E13" i="5"/>
  <c r="E12" i="5"/>
  <c r="E11" i="5"/>
  <c r="E10" i="5"/>
  <c r="E9" i="5"/>
  <c r="E8" i="5"/>
  <c r="E7" i="5"/>
  <c r="E6" i="5"/>
  <c r="E5" i="5"/>
  <c r="E4" i="5"/>
  <c r="E3" i="5"/>
  <c r="E4" i="2"/>
  <c r="E5" i="2"/>
  <c r="E6" i="2"/>
  <c r="E7" i="2"/>
  <c r="E8" i="2"/>
  <c r="E9" i="2"/>
  <c r="E10" i="2"/>
  <c r="E3" i="2"/>
  <c r="E81" i="1"/>
  <c r="E80" i="1"/>
  <c r="E73" i="1"/>
  <c r="E72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45" i="1"/>
  <c r="E39" i="1"/>
  <c r="E23" i="1"/>
  <c r="E24" i="1"/>
  <c r="E25" i="1"/>
  <c r="E26" i="1"/>
  <c r="E27" i="1"/>
  <c r="E28" i="1"/>
  <c r="E29" i="1"/>
  <c r="E30" i="1"/>
  <c r="E31" i="1"/>
  <c r="E32" i="1"/>
  <c r="E33" i="1"/>
  <c r="E22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3" i="1"/>
</calcChain>
</file>

<file path=xl/sharedStrings.xml><?xml version="1.0" encoding="utf-8"?>
<sst xmlns="http://schemas.openxmlformats.org/spreadsheetml/2006/main" count="211" uniqueCount="153">
  <si>
    <t>S. No.</t>
  </si>
  <si>
    <t>MODEL</t>
  </si>
  <si>
    <t>ORIGINAL PRICE</t>
  </si>
  <si>
    <t>DISCOUNT</t>
  </si>
  <si>
    <t>OUR PRICE</t>
  </si>
  <si>
    <t>CONTROLLERS (PS5)</t>
  </si>
  <si>
    <t>Access Controller</t>
  </si>
  <si>
    <t>DualSense Edge Wireless Controller</t>
  </si>
  <si>
    <t>DualSense Wireless Controller White</t>
  </si>
  <si>
    <t>DualSense Wireless Controller Midnight Black</t>
  </si>
  <si>
    <t>DualSense Wireless Controller Cosmic Red</t>
  </si>
  <si>
    <t>DualSense Wireless Controller Nova Pink</t>
  </si>
  <si>
    <t>DualSense Wireless Controller Starlight Blue</t>
  </si>
  <si>
    <t>DualSense Wireless Controller Galactic Purple</t>
  </si>
  <si>
    <t>DualSense Wireless Controller Cobalt Blue</t>
  </si>
  <si>
    <t>DualSense Wireless Controller Volcanic Red</t>
  </si>
  <si>
    <t>DualSense Wireless Controller Sterling Silver</t>
  </si>
  <si>
    <t>DualSense Wireless Controller Chroma Pearl</t>
  </si>
  <si>
    <t>DualSense Wireless Controller Chroma Indigo</t>
  </si>
  <si>
    <t>DualSense Wireless Controller Chroma Teal</t>
  </si>
  <si>
    <t>CONTROLLERS (PS4)</t>
  </si>
  <si>
    <t>DUALSHOCK 4 Wireless Controller Jet Black</t>
  </si>
  <si>
    <t>DUALSHOCK 4 Wireless Controller Glacier White</t>
  </si>
  <si>
    <t>DUALSHOCK 4 Wireless Controller Wave Blue</t>
  </si>
  <si>
    <t>DUALSHOCK 4 Wireless Controller Magma Red</t>
  </si>
  <si>
    <t>DUALSHOCK 4 Wireless Controller Urban Camouflage</t>
  </si>
  <si>
    <t>DUALSHOCK 4 Wireless Controller Midnight Blue</t>
  </si>
  <si>
    <t>DUALSHOCK 4 Wireless Controller Copper</t>
  </si>
  <si>
    <t>DUALSHOCK 4 Wireless Controller Berry Blue</t>
  </si>
  <si>
    <t>DUALSHOCK 4 Wireless ControllerAlpine Green</t>
  </si>
  <si>
    <t>DUALSHOCK 4 Wireless Controller Electric Purple</t>
  </si>
  <si>
    <t>DUALSHOCK 4 Wireless Controller Red</t>
  </si>
  <si>
    <t>DUALSHOCK 4 Wireless Controller Blue</t>
  </si>
  <si>
    <t>CONTROLLERS (PS3)</t>
  </si>
  <si>
    <t>DUALSHOCK 3 Wireless Controller</t>
  </si>
  <si>
    <t>CONTROLLERS (Xbox Series X|S)</t>
  </si>
  <si>
    <t>Xbox Elite Wireless Controller Series 2</t>
  </si>
  <si>
    <t>Xbox Elite Wireless Controller Series 2 - Core</t>
  </si>
  <si>
    <t>Xbox Adaptive Controller</t>
  </si>
  <si>
    <t>Xbox Wireless Controller Carbon Black</t>
  </si>
  <si>
    <t>Xbox Wireless Controller Robot White</t>
  </si>
  <si>
    <t>Xbox Wireless Controller Shock Blue</t>
  </si>
  <si>
    <t>Xbox Wireless Controller Pulse Red</t>
  </si>
  <si>
    <t>Xbox Wireless Controller Electric Volt</t>
  </si>
  <si>
    <t>Xbox Wireless Controller Deep Pink</t>
  </si>
  <si>
    <t>Xbox Wireless Controller Velocity Green</t>
  </si>
  <si>
    <t>Xbox Wireless Controller Aqua Shift</t>
  </si>
  <si>
    <t>Xbox Wireless Controller Lunar Shift</t>
  </si>
  <si>
    <t>Xbox Wireless Controller Stellar Shift</t>
  </si>
  <si>
    <t>Xbox Wireless Controller Mineral Camo</t>
  </si>
  <si>
    <t>Xbox Wireless Controller Artic Camo</t>
  </si>
  <si>
    <t>Xbox Wireless Controller Astral Purple</t>
  </si>
  <si>
    <t>Xbox Wireless Controller Sunkissed Vibes</t>
  </si>
  <si>
    <t>Xbox Wireless Controller Dream Vapor</t>
  </si>
  <si>
    <t>Xbox Wireless Controller Fire Vapor</t>
  </si>
  <si>
    <t>Xbox Wireless Controller Ghost Cipher</t>
  </si>
  <si>
    <t>Xbox Wireless Controller Sky Cipher</t>
  </si>
  <si>
    <t>CONTROLLERS (Xbox One)</t>
  </si>
  <si>
    <t>Xbox One Wireless Controller</t>
  </si>
  <si>
    <t>Xbox Elite Wireless Controller</t>
  </si>
  <si>
    <t>Xbox 360 Wireless Controller</t>
  </si>
  <si>
    <t>Xbox 360 Wired Controller</t>
  </si>
  <si>
    <t>TOTAL</t>
  </si>
  <si>
    <t>PS5 DualSense Charging Station</t>
  </si>
  <si>
    <t>PS5 DualSense Dual Charging Dock</t>
  </si>
  <si>
    <t>DualSense Edge Charging Dock</t>
  </si>
  <si>
    <t>PS4 DualShock 4 Charging Dock</t>
  </si>
  <si>
    <t>PS3 Controller Charging Dock</t>
  </si>
  <si>
    <t>Xbox Wireless Controller Charging Dock</t>
  </si>
  <si>
    <t>Xbox Elite Controller Charging Dock</t>
  </si>
  <si>
    <t>Xbox 360 Controller Charging Dock</t>
  </si>
  <si>
    <t>CONTROLLER CHARGING</t>
  </si>
  <si>
    <t>AUDIO</t>
  </si>
  <si>
    <t>PS4 Platinum Wireless Headset</t>
  </si>
  <si>
    <t>PS4 Gold Wireless Headset</t>
  </si>
  <si>
    <t>PS4 Gold Wireless Stereo Headset</t>
  </si>
  <si>
    <t>PS5 PULSE 3D Wireless Headset</t>
  </si>
  <si>
    <t>PS5 PULSE Explore Wireless Earbuds</t>
  </si>
  <si>
    <t>PS5 PULSE Elite Wireless Headset</t>
  </si>
  <si>
    <t>Xbox Wireless Headset</t>
  </si>
  <si>
    <t>Xbox Stereo Headset</t>
  </si>
  <si>
    <t>8TB WD BLACK Internal SN850P NVMe™ SSD Game Drive</t>
  </si>
  <si>
    <t>4TB WD BLACK Internal SN850P NVMe™ SSD Game Drive</t>
  </si>
  <si>
    <t>2TB WD BLACK Internal SN850P NVMe™ SSD Game Drive</t>
  </si>
  <si>
    <t>1TB WD BLACK Internal SN850P NVMe™ SSD Game Drive</t>
  </si>
  <si>
    <t>8TB SanDisk Optimus™ GX PRO 850P NVMe™ SSD for PS5® consoles</t>
  </si>
  <si>
    <t>4TB SanDisk Optimus™ GX PRO 850P NVMe™ SSD for PS5® consoles</t>
  </si>
  <si>
    <t>2TB SanDisk Optimus™ GX PRO 850P NVMe™ SSD for PS5® consoles</t>
  </si>
  <si>
    <t>1TB SanDisk Optimus™ GX PRO 850P NVMe™ SSD for PS5® consoles</t>
  </si>
  <si>
    <t>PlayStation VR2</t>
  </si>
  <si>
    <t>PlayStation VR2 Sense Controller — Left</t>
  </si>
  <si>
    <t>PlayStation VR2 Sense Controller — Right</t>
  </si>
  <si>
    <t>PlayStation VR2 Sense Controller Charging Station</t>
  </si>
  <si>
    <t>PlayStation VR2 PC Adapter</t>
  </si>
  <si>
    <t>PS VR2 Sense Controller Charging Station</t>
  </si>
  <si>
    <t>PS VR2 Stereo Headphones</t>
  </si>
  <si>
    <t>PS VR2 official earpieces</t>
  </si>
  <si>
    <t>PlayStation VR Headset</t>
  </si>
  <si>
    <t>PlayStation Camera</t>
  </si>
  <si>
    <t>PlayStation Move Motion Controller</t>
  </si>
  <si>
    <t>PlayStation VR Aim Controller</t>
  </si>
  <si>
    <t>PlayStation VR Processor Unit</t>
  </si>
  <si>
    <t>STORAGE</t>
  </si>
  <si>
    <t>VR &amp; AR</t>
  </si>
  <si>
    <t>RACING</t>
  </si>
  <si>
    <t>ARCADE &amp; FIGHTING</t>
  </si>
  <si>
    <t>Logitech G29 Driving Force Racing Wheel</t>
  </si>
  <si>
    <t>Logitech G920 Driving Force Racing Wheel</t>
  </si>
  <si>
    <t>Logitech G923 TRUEFORCE Racing Wheel</t>
  </si>
  <si>
    <t>Logitech G PRO Racing Wheel</t>
  </si>
  <si>
    <t>Logitech G RS50 System</t>
  </si>
  <si>
    <t>Logitech G RS50 Base</t>
  </si>
  <si>
    <t>Logitech G PRO Racing Pedals</t>
  </si>
  <si>
    <t>Logitech G RS Pedals</t>
  </si>
  <si>
    <t>Logitech G923 Pedals</t>
  </si>
  <si>
    <t>Logitech G29/G920 Driving Force Pedals</t>
  </si>
  <si>
    <t>Logitech G Driving Force Shifter</t>
  </si>
  <si>
    <t>Logitech G RS Wheel Hub</t>
  </si>
  <si>
    <t>Logitech G RS Formula Wheel McLaren Racing Edition</t>
  </si>
  <si>
    <t>Logitech G RS Clutch Module</t>
  </si>
  <si>
    <t>Logitech G RS50 Table Clamp</t>
  </si>
  <si>
    <t>Thrustmaster T128</t>
  </si>
  <si>
    <t>Thrustmaster T128 Shifter Pack</t>
  </si>
  <si>
    <t>Thrustmaster T248</t>
  </si>
  <si>
    <t>Thrustmaster T248R</t>
  </si>
  <si>
    <t>Thrustmaster T150 Force Feedback</t>
  </si>
  <si>
    <t>hrustmaster T150 PRO Force Feedback</t>
  </si>
  <si>
    <t>Thrustmaster T150 Ferrari Wheel Force Feedback</t>
  </si>
  <si>
    <t>Thrustmaster TMX Force Feedback</t>
  </si>
  <si>
    <t>Thrustmaster TMX PRO Force Feedback</t>
  </si>
  <si>
    <t>Thrustmaster T-GT</t>
  </si>
  <si>
    <t>Thrustmaster T-GT II</t>
  </si>
  <si>
    <t>Thrustmaster T598</t>
  </si>
  <si>
    <t>Thrustmaster T2PM</t>
  </si>
  <si>
    <t>Thrustmaster T3PM</t>
  </si>
  <si>
    <t>Thrustmaster T3PA</t>
  </si>
  <si>
    <t>Thrustmaster T3PA-PRO</t>
  </si>
  <si>
    <t>Thrustmaster T-LCM Pedals</t>
  </si>
  <si>
    <t>Thrustmaster Raceline Pedals III</t>
  </si>
  <si>
    <t>Thrustmaster TH8A Shifter</t>
  </si>
  <si>
    <t>Thrustmaster TSS Handbrake Sparco Mod+</t>
  </si>
  <si>
    <t>Thrustmaster Ferrari 488 GT3 Wheel Add-On</t>
  </si>
  <si>
    <t>Thrustmaster Ferrari 599XX EVO 30 Wheel Add-On</t>
  </si>
  <si>
    <t>Thrustmaster Open Wheel Add-On</t>
  </si>
  <si>
    <t>Thrustmaster Sparco R383 Mod</t>
  </si>
  <si>
    <t>Thrustmaster Ferrari F1 Wheel Add-On</t>
  </si>
  <si>
    <t>Sony FlexStrike Wireless Fight Stick</t>
  </si>
  <si>
    <t>Victrix
Pro FS Arcade Fight Stick</t>
  </si>
  <si>
    <t>Victrix
Pro FS-12 Arcade Fight Stick</t>
  </si>
  <si>
    <t>Razer
Kitsune Arcade Controller</t>
  </si>
  <si>
    <t>NACON
Daija Arcade Stick</t>
  </si>
  <si>
    <t>HORI
Fighting Stick α (Alpha)</t>
  </si>
  <si>
    <t>Qanba
Titan Arcade Joystick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</si>
</sst>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4" fillId="7" borderId="2" xfId="0" applyFont="1" applyFill="1" applyBorder="1"/>
    <xf numFmtId="0" fontId="2" fillId="7" borderId="3" xfId="0" applyFont="1" applyFill="1" applyBorder="1"/>
    <xf numFmtId="0" fontId="4" fillId="7" borderId="4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 wrapText="1"/>
    </xf>
    <xf numFmtId="9" fontId="1" fillId="7" borderId="1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5"/>
  <sheetViews>
    <sheetView topLeftCell="A68" zoomScale="90" zoomScaleNormal="90" workbookViewId="0">
      <selection activeCell="D81" sqref="D81"/>
    </sheetView>
  </sheetViews>
  <sheetFormatPr defaultRowHeight="14.5" x14ac:dyDescent="0.35"/>
  <cols>
    <col min="1" max="1" width="14.08984375" customWidth="1"/>
    <col min="2" max="2" width="69.1796875" customWidth="1"/>
    <col min="3" max="3" width="32.36328125" customWidth="1"/>
    <col min="4" max="4" width="18.1796875" customWidth="1"/>
    <col min="5" max="5" width="31.6328125" customWidth="1"/>
  </cols>
  <sheetData>
    <row r="1" spans="1:5" ht="36" x14ac:dyDescent="0.35">
      <c r="A1" s="11" t="s">
        <v>5</v>
      </c>
      <c r="B1" s="12"/>
      <c r="C1" s="12"/>
      <c r="D1" s="12"/>
      <c r="E1" s="13"/>
    </row>
    <row r="2" spans="1:5" ht="23.5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ht="18.5" x14ac:dyDescent="0.35">
      <c r="A3" s="2">
        <v>1</v>
      </c>
      <c r="B3" s="3" t="s">
        <v>6</v>
      </c>
      <c r="C3" s="4">
        <v>4999</v>
      </c>
      <c r="D3" s="10">
        <v>0.1</v>
      </c>
      <c r="E3" s="5">
        <f>C3*(1 - D3)</f>
        <v>4499.1000000000004</v>
      </c>
    </row>
    <row r="4" spans="1:5" ht="18.5" x14ac:dyDescent="0.35">
      <c r="A4" s="2">
        <v>2</v>
      </c>
      <c r="B4" s="3" t="s">
        <v>7</v>
      </c>
      <c r="C4" s="4">
        <v>18990</v>
      </c>
      <c r="D4" s="10">
        <v>7.0000000000000007E-2</v>
      </c>
      <c r="E4" s="5">
        <f t="shared" ref="E4:E16" si="0">C4*(1 - D4)</f>
        <v>17660.699999999997</v>
      </c>
    </row>
    <row r="5" spans="1:5" ht="18.5" x14ac:dyDescent="0.35">
      <c r="A5" s="2">
        <v>3</v>
      </c>
      <c r="B5" s="3" t="s">
        <v>8</v>
      </c>
      <c r="C5" s="4">
        <v>6390</v>
      </c>
      <c r="D5" s="10">
        <v>0.08</v>
      </c>
      <c r="E5" s="5">
        <f t="shared" si="0"/>
        <v>5878.8</v>
      </c>
    </row>
    <row r="6" spans="1:5" ht="18.5" x14ac:dyDescent="0.35">
      <c r="A6" s="2">
        <v>4</v>
      </c>
      <c r="B6" s="3" t="s">
        <v>9</v>
      </c>
      <c r="C6" s="4">
        <v>6390</v>
      </c>
      <c r="D6" s="10">
        <v>0.08</v>
      </c>
      <c r="E6" s="5">
        <f t="shared" si="0"/>
        <v>5878.8</v>
      </c>
    </row>
    <row r="7" spans="1:5" ht="18.5" x14ac:dyDescent="0.35">
      <c r="A7" s="2">
        <v>5</v>
      </c>
      <c r="B7" s="3" t="s">
        <v>10</v>
      </c>
      <c r="C7" s="4">
        <v>6390</v>
      </c>
      <c r="D7" s="10">
        <v>0.08</v>
      </c>
      <c r="E7" s="5">
        <f t="shared" si="0"/>
        <v>5878.8</v>
      </c>
    </row>
    <row r="8" spans="1:5" ht="18.5" x14ac:dyDescent="0.35">
      <c r="A8" s="2">
        <v>6</v>
      </c>
      <c r="B8" s="3" t="s">
        <v>11</v>
      </c>
      <c r="C8" s="4">
        <v>6390</v>
      </c>
      <c r="D8" s="10">
        <v>0.08</v>
      </c>
      <c r="E8" s="5">
        <f t="shared" si="0"/>
        <v>5878.8</v>
      </c>
    </row>
    <row r="9" spans="1:5" ht="18.5" x14ac:dyDescent="0.35">
      <c r="A9" s="2">
        <v>7</v>
      </c>
      <c r="B9" s="3" t="s">
        <v>12</v>
      </c>
      <c r="C9" s="4">
        <v>6390</v>
      </c>
      <c r="D9" s="10">
        <v>0.08</v>
      </c>
      <c r="E9" s="5">
        <f t="shared" si="0"/>
        <v>5878.8</v>
      </c>
    </row>
    <row r="10" spans="1:5" ht="18.5" x14ac:dyDescent="0.35">
      <c r="A10" s="2">
        <v>8</v>
      </c>
      <c r="B10" s="3" t="s">
        <v>13</v>
      </c>
      <c r="C10" s="4">
        <v>6390</v>
      </c>
      <c r="D10" s="10">
        <v>0.08</v>
      </c>
      <c r="E10" s="5">
        <f t="shared" si="0"/>
        <v>5878.8</v>
      </c>
    </row>
    <row r="11" spans="1:5" ht="18.5" x14ac:dyDescent="0.35">
      <c r="A11" s="2">
        <v>9</v>
      </c>
      <c r="B11" s="3" t="s">
        <v>14</v>
      </c>
      <c r="C11" s="4">
        <v>6390</v>
      </c>
      <c r="D11" s="10">
        <v>0.08</v>
      </c>
      <c r="E11" s="5">
        <f t="shared" si="0"/>
        <v>5878.8</v>
      </c>
    </row>
    <row r="12" spans="1:5" ht="18.5" x14ac:dyDescent="0.35">
      <c r="A12" s="2">
        <v>10</v>
      </c>
      <c r="B12" s="3" t="s">
        <v>15</v>
      </c>
      <c r="C12" s="4">
        <v>6390</v>
      </c>
      <c r="D12" s="10">
        <v>0.08</v>
      </c>
      <c r="E12" s="5">
        <f t="shared" si="0"/>
        <v>5878.8</v>
      </c>
    </row>
    <row r="13" spans="1:5" ht="18.5" x14ac:dyDescent="0.35">
      <c r="A13" s="2">
        <v>11</v>
      </c>
      <c r="B13" s="3" t="s">
        <v>16</v>
      </c>
      <c r="C13" s="4">
        <v>6390</v>
      </c>
      <c r="D13" s="10">
        <v>0.08</v>
      </c>
      <c r="E13" s="5">
        <f t="shared" si="0"/>
        <v>5878.8</v>
      </c>
    </row>
    <row r="14" spans="1:5" ht="18.5" x14ac:dyDescent="0.35">
      <c r="A14" s="2">
        <v>12</v>
      </c>
      <c r="B14" s="3" t="s">
        <v>17</v>
      </c>
      <c r="C14" s="4">
        <v>6390</v>
      </c>
      <c r="D14" s="10">
        <v>0.08</v>
      </c>
      <c r="E14" s="5">
        <f t="shared" si="0"/>
        <v>5878.8</v>
      </c>
    </row>
    <row r="15" spans="1:5" ht="18.5" x14ac:dyDescent="0.35">
      <c r="A15" s="2">
        <v>13</v>
      </c>
      <c r="B15" s="3" t="s">
        <v>18</v>
      </c>
      <c r="C15" s="4">
        <v>6390</v>
      </c>
      <c r="D15" s="10">
        <v>0.08</v>
      </c>
      <c r="E15" s="5">
        <f t="shared" si="0"/>
        <v>5878.8</v>
      </c>
    </row>
    <row r="16" spans="1:5" ht="18.5" x14ac:dyDescent="0.35">
      <c r="A16" s="2">
        <v>14</v>
      </c>
      <c r="B16" s="3" t="s">
        <v>19</v>
      </c>
      <c r="C16" s="4">
        <v>6390</v>
      </c>
      <c r="D16" s="10">
        <v>0.08</v>
      </c>
      <c r="E16" s="5">
        <f t="shared" si="0"/>
        <v>5878.8</v>
      </c>
    </row>
    <row r="20" spans="1:5" ht="36" x14ac:dyDescent="0.35">
      <c r="A20" s="11" t="s">
        <v>20</v>
      </c>
      <c r="B20" s="12"/>
      <c r="C20" s="12"/>
      <c r="D20" s="12"/>
      <c r="E20" s="13"/>
    </row>
    <row r="21" spans="1:5" ht="23.5" x14ac:dyDescent="0.35">
      <c r="A21" s="1" t="s">
        <v>0</v>
      </c>
      <c r="B21" s="1" t="s">
        <v>1</v>
      </c>
      <c r="C21" s="1" t="s">
        <v>2</v>
      </c>
      <c r="D21" s="1" t="s">
        <v>3</v>
      </c>
      <c r="E21" s="1" t="s">
        <v>4</v>
      </c>
    </row>
    <row r="22" spans="1:5" ht="18.5" x14ac:dyDescent="0.35">
      <c r="A22" s="2">
        <v>1</v>
      </c>
      <c r="B22" s="3" t="s">
        <v>21</v>
      </c>
      <c r="C22" s="4">
        <v>4499</v>
      </c>
      <c r="D22" s="10">
        <v>0.55000000000000004</v>
      </c>
      <c r="E22" s="5">
        <f>C22*(1-D22)</f>
        <v>2024.5499999999997</v>
      </c>
    </row>
    <row r="23" spans="1:5" ht="18.5" x14ac:dyDescent="0.35">
      <c r="A23" s="2">
        <v>2</v>
      </c>
      <c r="B23" s="3" t="s">
        <v>22</v>
      </c>
      <c r="C23" s="4">
        <v>4499</v>
      </c>
      <c r="D23" s="10">
        <v>0.55000000000000004</v>
      </c>
      <c r="E23" s="5">
        <f t="shared" ref="E23:E33" si="1">C23*(1-D23)</f>
        <v>2024.5499999999997</v>
      </c>
    </row>
    <row r="24" spans="1:5" ht="18.5" x14ac:dyDescent="0.35">
      <c r="A24" s="2">
        <v>3</v>
      </c>
      <c r="B24" s="3" t="s">
        <v>23</v>
      </c>
      <c r="C24" s="4">
        <v>4499</v>
      </c>
      <c r="D24" s="10">
        <v>0.55000000000000004</v>
      </c>
      <c r="E24" s="5">
        <f t="shared" si="1"/>
        <v>2024.5499999999997</v>
      </c>
    </row>
    <row r="25" spans="1:5" ht="18.5" x14ac:dyDescent="0.35">
      <c r="A25" s="2">
        <v>4</v>
      </c>
      <c r="B25" s="3" t="s">
        <v>24</v>
      </c>
      <c r="C25" s="4">
        <v>4499</v>
      </c>
      <c r="D25" s="10">
        <v>0.55000000000000004</v>
      </c>
      <c r="E25" s="5">
        <f t="shared" si="1"/>
        <v>2024.5499999999997</v>
      </c>
    </row>
    <row r="26" spans="1:5" ht="18.5" x14ac:dyDescent="0.35">
      <c r="A26" s="2">
        <v>5</v>
      </c>
      <c r="B26" s="3" t="s">
        <v>25</v>
      </c>
      <c r="C26" s="4">
        <v>4499</v>
      </c>
      <c r="D26" s="10">
        <v>0.55000000000000004</v>
      </c>
      <c r="E26" s="5">
        <f t="shared" si="1"/>
        <v>2024.5499999999997</v>
      </c>
    </row>
    <row r="27" spans="1:5" ht="18.5" x14ac:dyDescent="0.35">
      <c r="A27" s="2">
        <v>6</v>
      </c>
      <c r="B27" s="3" t="s">
        <v>26</v>
      </c>
      <c r="C27" s="4">
        <v>4499</v>
      </c>
      <c r="D27" s="10">
        <v>0.55000000000000004</v>
      </c>
      <c r="E27" s="5">
        <f t="shared" si="1"/>
        <v>2024.5499999999997</v>
      </c>
    </row>
    <row r="28" spans="1:5" ht="18.5" x14ac:dyDescent="0.35">
      <c r="A28" s="2">
        <v>7</v>
      </c>
      <c r="B28" s="3" t="s">
        <v>27</v>
      </c>
      <c r="C28" s="4">
        <v>4499</v>
      </c>
      <c r="D28" s="10">
        <v>0.55000000000000004</v>
      </c>
      <c r="E28" s="5">
        <f t="shared" si="1"/>
        <v>2024.5499999999997</v>
      </c>
    </row>
    <row r="29" spans="1:5" ht="18.5" x14ac:dyDescent="0.35">
      <c r="A29" s="2">
        <v>8</v>
      </c>
      <c r="B29" s="3" t="s">
        <v>28</v>
      </c>
      <c r="C29" s="4">
        <v>4499</v>
      </c>
      <c r="D29" s="10">
        <v>0.55000000000000004</v>
      </c>
      <c r="E29" s="5">
        <f t="shared" si="1"/>
        <v>2024.5499999999997</v>
      </c>
    </row>
    <row r="30" spans="1:5" ht="18.5" x14ac:dyDescent="0.35">
      <c r="A30" s="2">
        <v>9</v>
      </c>
      <c r="B30" s="3" t="s">
        <v>29</v>
      </c>
      <c r="C30" s="4">
        <v>4499</v>
      </c>
      <c r="D30" s="10">
        <v>0.55000000000000004</v>
      </c>
      <c r="E30" s="5">
        <f t="shared" si="1"/>
        <v>2024.5499999999997</v>
      </c>
    </row>
    <row r="31" spans="1:5" ht="18.5" x14ac:dyDescent="0.35">
      <c r="A31" s="2">
        <v>10</v>
      </c>
      <c r="B31" s="3" t="s">
        <v>30</v>
      </c>
      <c r="C31" s="4">
        <v>4499</v>
      </c>
      <c r="D31" s="10">
        <v>0.55000000000000004</v>
      </c>
      <c r="E31" s="5">
        <f t="shared" si="1"/>
        <v>2024.5499999999997</v>
      </c>
    </row>
    <row r="32" spans="1:5" ht="18.5" x14ac:dyDescent="0.35">
      <c r="A32" s="2">
        <v>11</v>
      </c>
      <c r="B32" s="3" t="s">
        <v>31</v>
      </c>
      <c r="C32" s="4">
        <v>4499</v>
      </c>
      <c r="D32" s="10">
        <v>0.55000000000000004</v>
      </c>
      <c r="E32" s="5">
        <f t="shared" si="1"/>
        <v>2024.5499999999997</v>
      </c>
    </row>
    <row r="33" spans="1:5" ht="18.5" x14ac:dyDescent="0.35">
      <c r="A33" s="2">
        <v>12</v>
      </c>
      <c r="B33" s="3" t="s">
        <v>32</v>
      </c>
      <c r="C33" s="4">
        <v>4499</v>
      </c>
      <c r="D33" s="10">
        <v>0.55000000000000004</v>
      </c>
      <c r="E33" s="5">
        <f t="shared" si="1"/>
        <v>2024.5499999999997</v>
      </c>
    </row>
    <row r="37" spans="1:5" ht="36" x14ac:dyDescent="0.35">
      <c r="A37" s="11" t="s">
        <v>33</v>
      </c>
      <c r="B37" s="12"/>
      <c r="C37" s="12"/>
      <c r="D37" s="12"/>
      <c r="E37" s="13"/>
    </row>
    <row r="38" spans="1:5" ht="23.5" x14ac:dyDescent="0.35">
      <c r="A38" s="1" t="s">
        <v>0</v>
      </c>
      <c r="B38" s="1" t="s">
        <v>1</v>
      </c>
      <c r="C38" s="1" t="s">
        <v>2</v>
      </c>
      <c r="D38" s="1" t="s">
        <v>3</v>
      </c>
      <c r="E38" s="1" t="s">
        <v>4</v>
      </c>
    </row>
    <row r="39" spans="1:5" ht="18.5" x14ac:dyDescent="0.35">
      <c r="A39" s="2">
        <v>1</v>
      </c>
      <c r="B39" s="3" t="s">
        <v>34</v>
      </c>
      <c r="C39" s="4">
        <v>2999</v>
      </c>
      <c r="D39" s="10">
        <v>0.6</v>
      </c>
      <c r="E39" s="5">
        <f>C39*(1-D39)</f>
        <v>1199.6000000000001</v>
      </c>
    </row>
    <row r="43" spans="1:5" ht="36" x14ac:dyDescent="0.35">
      <c r="A43" s="11" t="s">
        <v>35</v>
      </c>
      <c r="B43" s="12"/>
      <c r="C43" s="12"/>
      <c r="D43" s="12"/>
      <c r="E43" s="13"/>
    </row>
    <row r="44" spans="1:5" ht="23.5" x14ac:dyDescent="0.35">
      <c r="A44" s="1" t="s">
        <v>0</v>
      </c>
      <c r="B44" s="1" t="s">
        <v>1</v>
      </c>
      <c r="C44" s="1" t="s">
        <v>2</v>
      </c>
      <c r="D44" s="1" t="s">
        <v>3</v>
      </c>
      <c r="E44" s="1" t="s">
        <v>4</v>
      </c>
    </row>
    <row r="45" spans="1:5" ht="18.5" x14ac:dyDescent="0.35">
      <c r="A45" s="2">
        <v>1</v>
      </c>
      <c r="B45" s="3" t="s">
        <v>36</v>
      </c>
      <c r="C45" s="4">
        <v>14499</v>
      </c>
      <c r="D45" s="10">
        <v>0.33</v>
      </c>
      <c r="E45" s="5">
        <f>C45*(1-D45)</f>
        <v>9714.3299999999981</v>
      </c>
    </row>
    <row r="46" spans="1:5" ht="18.5" x14ac:dyDescent="0.35">
      <c r="A46" s="2">
        <v>2</v>
      </c>
      <c r="B46" s="3" t="s">
        <v>37</v>
      </c>
      <c r="C46" s="4">
        <v>12499</v>
      </c>
      <c r="D46" s="10">
        <v>0.17</v>
      </c>
      <c r="E46" s="5">
        <f t="shared" ref="E46:E65" si="2">C46*(1-D46)</f>
        <v>10374.17</v>
      </c>
    </row>
    <row r="47" spans="1:5" ht="18.5" x14ac:dyDescent="0.35">
      <c r="A47" s="2">
        <v>3</v>
      </c>
      <c r="B47" s="3" t="s">
        <v>38</v>
      </c>
      <c r="C47" s="4">
        <v>28499</v>
      </c>
      <c r="D47" s="10">
        <v>0.12</v>
      </c>
      <c r="E47" s="5">
        <f t="shared" si="2"/>
        <v>25079.119999999999</v>
      </c>
    </row>
    <row r="48" spans="1:5" ht="18.5" x14ac:dyDescent="0.35">
      <c r="A48" s="2">
        <v>4</v>
      </c>
      <c r="B48" s="3" t="s">
        <v>39</v>
      </c>
      <c r="C48" s="4">
        <v>6990</v>
      </c>
      <c r="D48" s="10">
        <v>0.35</v>
      </c>
      <c r="E48" s="5">
        <f t="shared" si="2"/>
        <v>4543.5</v>
      </c>
    </row>
    <row r="49" spans="1:5" ht="18.5" x14ac:dyDescent="0.35">
      <c r="A49" s="2">
        <v>5</v>
      </c>
      <c r="B49" s="3" t="s">
        <v>40</v>
      </c>
      <c r="C49" s="4">
        <v>6990</v>
      </c>
      <c r="D49" s="10">
        <v>0.35</v>
      </c>
      <c r="E49" s="5">
        <f t="shared" si="2"/>
        <v>4543.5</v>
      </c>
    </row>
    <row r="50" spans="1:5" ht="18.5" x14ac:dyDescent="0.35">
      <c r="A50" s="2">
        <v>6</v>
      </c>
      <c r="B50" s="3" t="s">
        <v>41</v>
      </c>
      <c r="C50" s="4">
        <v>6990</v>
      </c>
      <c r="D50" s="10">
        <v>0.35</v>
      </c>
      <c r="E50" s="5">
        <f t="shared" si="2"/>
        <v>4543.5</v>
      </c>
    </row>
    <row r="51" spans="1:5" ht="18.5" x14ac:dyDescent="0.35">
      <c r="A51" s="2">
        <v>7</v>
      </c>
      <c r="B51" s="3" t="s">
        <v>42</v>
      </c>
      <c r="C51" s="4">
        <v>6990</v>
      </c>
      <c r="D51" s="10">
        <v>0.35</v>
      </c>
      <c r="E51" s="5">
        <f t="shared" si="2"/>
        <v>4543.5</v>
      </c>
    </row>
    <row r="52" spans="1:5" ht="18.5" x14ac:dyDescent="0.35">
      <c r="A52" s="2">
        <v>8</v>
      </c>
      <c r="B52" s="3" t="s">
        <v>43</v>
      </c>
      <c r="C52" s="4">
        <v>6990</v>
      </c>
      <c r="D52" s="10">
        <v>0.35</v>
      </c>
      <c r="E52" s="5">
        <f t="shared" si="2"/>
        <v>4543.5</v>
      </c>
    </row>
    <row r="53" spans="1:5" ht="18.5" x14ac:dyDescent="0.35">
      <c r="A53" s="2">
        <v>9</v>
      </c>
      <c r="B53" s="3" t="s">
        <v>44</v>
      </c>
      <c r="C53" s="4">
        <v>6990</v>
      </c>
      <c r="D53" s="10">
        <v>0.35</v>
      </c>
      <c r="E53" s="5">
        <f t="shared" si="2"/>
        <v>4543.5</v>
      </c>
    </row>
    <row r="54" spans="1:5" ht="18.5" x14ac:dyDescent="0.35">
      <c r="A54" s="2">
        <v>10</v>
      </c>
      <c r="B54" s="3" t="s">
        <v>45</v>
      </c>
      <c r="C54" s="4">
        <v>6990</v>
      </c>
      <c r="D54" s="10">
        <v>0.35</v>
      </c>
      <c r="E54" s="5">
        <f t="shared" si="2"/>
        <v>4543.5</v>
      </c>
    </row>
    <row r="55" spans="1:5" ht="18.5" x14ac:dyDescent="0.35">
      <c r="A55" s="2">
        <v>11</v>
      </c>
      <c r="B55" s="3" t="s">
        <v>46</v>
      </c>
      <c r="C55" s="4">
        <v>6990</v>
      </c>
      <c r="D55" s="10">
        <v>0.35</v>
      </c>
      <c r="E55" s="5">
        <f t="shared" si="2"/>
        <v>4543.5</v>
      </c>
    </row>
    <row r="56" spans="1:5" ht="18.5" x14ac:dyDescent="0.35">
      <c r="A56" s="2">
        <v>12</v>
      </c>
      <c r="B56" s="3" t="s">
        <v>47</v>
      </c>
      <c r="C56" s="4">
        <v>6990</v>
      </c>
      <c r="D56" s="10">
        <v>0.35</v>
      </c>
      <c r="E56" s="5">
        <f t="shared" si="2"/>
        <v>4543.5</v>
      </c>
    </row>
    <row r="57" spans="1:5" ht="18.5" x14ac:dyDescent="0.35">
      <c r="A57" s="2">
        <v>13</v>
      </c>
      <c r="B57" s="3" t="s">
        <v>48</v>
      </c>
      <c r="C57" s="4">
        <v>6990</v>
      </c>
      <c r="D57" s="10">
        <v>0.35</v>
      </c>
      <c r="E57" s="5">
        <f t="shared" si="2"/>
        <v>4543.5</v>
      </c>
    </row>
    <row r="58" spans="1:5" ht="18.5" x14ac:dyDescent="0.35">
      <c r="A58" s="2">
        <v>14</v>
      </c>
      <c r="B58" s="3" t="s">
        <v>49</v>
      </c>
      <c r="C58" s="4">
        <v>6990</v>
      </c>
      <c r="D58" s="10">
        <v>0.35</v>
      </c>
      <c r="E58" s="5">
        <f t="shared" si="2"/>
        <v>4543.5</v>
      </c>
    </row>
    <row r="59" spans="1:5" ht="18.5" x14ac:dyDescent="0.35">
      <c r="A59" s="2">
        <v>15</v>
      </c>
      <c r="B59" s="3" t="s">
        <v>50</v>
      </c>
      <c r="C59" s="4">
        <v>6990</v>
      </c>
      <c r="D59" s="10">
        <v>0.35</v>
      </c>
      <c r="E59" s="5">
        <f t="shared" si="2"/>
        <v>4543.5</v>
      </c>
    </row>
    <row r="60" spans="1:5" ht="18.5" x14ac:dyDescent="0.35">
      <c r="A60" s="2">
        <v>16</v>
      </c>
      <c r="B60" s="3" t="s">
        <v>51</v>
      </c>
      <c r="C60" s="4">
        <v>6990</v>
      </c>
      <c r="D60" s="10">
        <v>0.35</v>
      </c>
      <c r="E60" s="5">
        <f t="shared" si="2"/>
        <v>4543.5</v>
      </c>
    </row>
    <row r="61" spans="1:5" ht="18.5" x14ac:dyDescent="0.35">
      <c r="A61" s="2">
        <v>17</v>
      </c>
      <c r="B61" s="3" t="s">
        <v>52</v>
      </c>
      <c r="C61" s="4">
        <v>6990</v>
      </c>
      <c r="D61" s="10">
        <v>0.35</v>
      </c>
      <c r="E61" s="5">
        <f t="shared" si="2"/>
        <v>4543.5</v>
      </c>
    </row>
    <row r="62" spans="1:5" ht="18.5" x14ac:dyDescent="0.35">
      <c r="A62" s="2">
        <v>18</v>
      </c>
      <c r="B62" s="3" t="s">
        <v>53</v>
      </c>
      <c r="C62" s="4">
        <v>6990</v>
      </c>
      <c r="D62" s="10">
        <v>0.35</v>
      </c>
      <c r="E62" s="5">
        <f t="shared" si="2"/>
        <v>4543.5</v>
      </c>
    </row>
    <row r="63" spans="1:5" ht="18.5" x14ac:dyDescent="0.35">
      <c r="A63" s="2">
        <v>19</v>
      </c>
      <c r="B63" s="3" t="s">
        <v>54</v>
      </c>
      <c r="C63" s="4">
        <v>6990</v>
      </c>
      <c r="D63" s="10">
        <v>0.35</v>
      </c>
      <c r="E63" s="5">
        <f t="shared" si="2"/>
        <v>4543.5</v>
      </c>
    </row>
    <row r="64" spans="1:5" ht="18.5" x14ac:dyDescent="0.35">
      <c r="A64" s="2">
        <v>20</v>
      </c>
      <c r="B64" s="3" t="s">
        <v>55</v>
      </c>
      <c r="C64" s="4">
        <v>6990</v>
      </c>
      <c r="D64" s="10">
        <v>0.35</v>
      </c>
      <c r="E64" s="5">
        <f t="shared" si="2"/>
        <v>4543.5</v>
      </c>
    </row>
    <row r="65" spans="1:5" ht="18.5" x14ac:dyDescent="0.35">
      <c r="A65" s="2">
        <v>21</v>
      </c>
      <c r="B65" s="3" t="s">
        <v>56</v>
      </c>
      <c r="C65" s="4">
        <v>6990</v>
      </c>
      <c r="D65" s="10">
        <v>0.35</v>
      </c>
      <c r="E65" s="5">
        <f t="shared" si="2"/>
        <v>4543.5</v>
      </c>
    </row>
    <row r="70" spans="1:5" ht="36" x14ac:dyDescent="0.35">
      <c r="A70" s="11" t="s">
        <v>57</v>
      </c>
      <c r="B70" s="12"/>
      <c r="C70" s="12"/>
      <c r="D70" s="12"/>
      <c r="E70" s="13"/>
    </row>
    <row r="71" spans="1:5" ht="23.5" x14ac:dyDescent="0.35">
      <c r="A71" s="1" t="s">
        <v>0</v>
      </c>
      <c r="B71" s="1" t="s">
        <v>1</v>
      </c>
      <c r="C71" s="1" t="s">
        <v>2</v>
      </c>
      <c r="D71" s="1" t="s">
        <v>3</v>
      </c>
      <c r="E71" s="1" t="s">
        <v>4</v>
      </c>
    </row>
    <row r="72" spans="1:5" ht="18.5" x14ac:dyDescent="0.35">
      <c r="A72" s="2">
        <v>1</v>
      </c>
      <c r="B72" s="3" t="s">
        <v>58</v>
      </c>
      <c r="C72" s="4">
        <v>4499</v>
      </c>
      <c r="D72" s="10">
        <v>0.2</v>
      </c>
      <c r="E72" s="5">
        <f>C72*(1-D72)</f>
        <v>3599.2000000000003</v>
      </c>
    </row>
    <row r="73" spans="1:5" ht="18.5" x14ac:dyDescent="0.35">
      <c r="A73" s="2">
        <v>2</v>
      </c>
      <c r="B73" s="3" t="s">
        <v>59</v>
      </c>
      <c r="C73" s="4">
        <v>15999</v>
      </c>
      <c r="D73" s="10">
        <v>0.15</v>
      </c>
      <c r="E73" s="5">
        <f>C73*(1-D73)</f>
        <v>13599.15</v>
      </c>
    </row>
    <row r="78" spans="1:5" ht="36" x14ac:dyDescent="0.35">
      <c r="A78" s="11" t="s">
        <v>57</v>
      </c>
      <c r="B78" s="12"/>
      <c r="C78" s="12"/>
      <c r="D78" s="12"/>
      <c r="E78" s="13"/>
    </row>
    <row r="79" spans="1:5" ht="23.5" x14ac:dyDescent="0.35">
      <c r="A79" s="1" t="s">
        <v>0</v>
      </c>
      <c r="B79" s="1" t="s">
        <v>1</v>
      </c>
      <c r="C79" s="1" t="s">
        <v>2</v>
      </c>
      <c r="D79" s="1" t="s">
        <v>3</v>
      </c>
      <c r="E79" s="1" t="s">
        <v>4</v>
      </c>
    </row>
    <row r="80" spans="1:5" ht="18.5" x14ac:dyDescent="0.35">
      <c r="A80" s="2">
        <v>1</v>
      </c>
      <c r="B80" s="3" t="s">
        <v>60</v>
      </c>
      <c r="C80" s="4">
        <v>2299</v>
      </c>
      <c r="D80" s="10">
        <v>0.55000000000000004</v>
      </c>
      <c r="E80" s="5">
        <f>C80*(1-D80)</f>
        <v>1034.55</v>
      </c>
    </row>
    <row r="81" spans="1:5" ht="18.5" x14ac:dyDescent="0.35">
      <c r="A81" s="2">
        <v>2</v>
      </c>
      <c r="B81" s="3" t="s">
        <v>61</v>
      </c>
      <c r="C81" s="4">
        <v>1899</v>
      </c>
      <c r="D81" s="10">
        <v>0.6</v>
      </c>
      <c r="E81" s="5">
        <f>C81*(1-D81)</f>
        <v>759.6</v>
      </c>
    </row>
    <row r="85" spans="1:5" ht="36" x14ac:dyDescent="0.8">
      <c r="A85" s="6" t="s">
        <v>62</v>
      </c>
      <c r="B85" s="7"/>
      <c r="C85" s="7"/>
      <c r="D85" s="7"/>
      <c r="E85" s="8">
        <v>52</v>
      </c>
    </row>
  </sheetData>
  <mergeCells count="6">
    <mergeCell ref="A78:E78"/>
    <mergeCell ref="A1:E1"/>
    <mergeCell ref="A20:E20"/>
    <mergeCell ref="A37:E37"/>
    <mergeCell ref="A43:E43"/>
    <mergeCell ref="A70:E7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66844-E7E0-4CFA-948F-6C77B230F5A1}">
  <dimension ref="A1:E10"/>
  <sheetViews>
    <sheetView workbookViewId="0">
      <selection activeCell="C12" sqref="C12"/>
    </sheetView>
  </sheetViews>
  <sheetFormatPr defaultRowHeight="14.5" x14ac:dyDescent="0.35"/>
  <cols>
    <col min="1" max="1" width="12.81640625" customWidth="1"/>
    <col min="2" max="2" width="67" customWidth="1"/>
    <col min="3" max="3" width="30" customWidth="1"/>
    <col min="4" max="4" width="19" customWidth="1"/>
    <col min="5" max="5" width="31.08984375" customWidth="1"/>
  </cols>
  <sheetData>
    <row r="1" spans="1:5" ht="36" x14ac:dyDescent="0.35">
      <c r="A1" s="11" t="s">
        <v>71</v>
      </c>
      <c r="B1" s="12"/>
      <c r="C1" s="12"/>
      <c r="D1" s="12"/>
      <c r="E1" s="13"/>
    </row>
    <row r="2" spans="1:5" ht="23.5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ht="18.5" x14ac:dyDescent="0.35">
      <c r="A3" s="2">
        <v>1</v>
      </c>
      <c r="B3" s="3" t="s">
        <v>63</v>
      </c>
      <c r="C3" s="4">
        <v>2590</v>
      </c>
      <c r="D3" s="10">
        <v>0.25</v>
      </c>
      <c r="E3" s="5">
        <f>C3*(1-D3)</f>
        <v>1942.5</v>
      </c>
    </row>
    <row r="4" spans="1:5" ht="18.5" x14ac:dyDescent="0.35">
      <c r="A4" s="2">
        <v>2</v>
      </c>
      <c r="B4" s="3" t="s">
        <v>64</v>
      </c>
      <c r="C4" s="4">
        <v>3499</v>
      </c>
      <c r="D4" s="10">
        <v>0.2</v>
      </c>
      <c r="E4" s="5">
        <f t="shared" ref="E4:E10" si="0">C4*(1-D4)</f>
        <v>2799.2000000000003</v>
      </c>
    </row>
    <row r="5" spans="1:5" ht="18.5" x14ac:dyDescent="0.35">
      <c r="A5" s="2">
        <v>3</v>
      </c>
      <c r="B5" s="3" t="s">
        <v>65</v>
      </c>
      <c r="C5" s="4">
        <v>1949</v>
      </c>
      <c r="D5" s="10">
        <v>0.55000000000000004</v>
      </c>
      <c r="E5" s="5">
        <f t="shared" si="0"/>
        <v>877.05</v>
      </c>
    </row>
    <row r="6" spans="1:5" ht="18.5" x14ac:dyDescent="0.35">
      <c r="A6" s="2">
        <v>4</v>
      </c>
      <c r="B6" s="3" t="s">
        <v>66</v>
      </c>
      <c r="C6" s="4">
        <v>1499</v>
      </c>
      <c r="D6" s="10">
        <v>0.7</v>
      </c>
      <c r="E6" s="5">
        <f t="shared" si="0"/>
        <v>449.70000000000005</v>
      </c>
    </row>
    <row r="7" spans="1:5" ht="18.5" x14ac:dyDescent="0.35">
      <c r="A7" s="2">
        <v>5</v>
      </c>
      <c r="B7" s="3" t="s">
        <v>67</v>
      </c>
      <c r="C7" s="4">
        <v>2299</v>
      </c>
      <c r="D7" s="10">
        <v>0.65</v>
      </c>
      <c r="E7" s="5">
        <f t="shared" si="0"/>
        <v>804.65</v>
      </c>
    </row>
    <row r="8" spans="1:5" ht="18.5" x14ac:dyDescent="0.35">
      <c r="A8" s="2">
        <v>6</v>
      </c>
      <c r="B8" s="3" t="s">
        <v>68</v>
      </c>
      <c r="C8" s="4">
        <v>4499</v>
      </c>
      <c r="D8" s="10">
        <v>0.65</v>
      </c>
      <c r="E8" s="5">
        <f t="shared" si="0"/>
        <v>1574.6499999999999</v>
      </c>
    </row>
    <row r="9" spans="1:5" ht="18.5" x14ac:dyDescent="0.35">
      <c r="A9" s="2">
        <v>7</v>
      </c>
      <c r="B9" s="3" t="s">
        <v>69</v>
      </c>
      <c r="C9" s="4">
        <v>5449</v>
      </c>
      <c r="D9" s="10">
        <v>0.55000000000000004</v>
      </c>
      <c r="E9" s="5">
        <f t="shared" si="0"/>
        <v>2452.0499999999997</v>
      </c>
    </row>
    <row r="10" spans="1:5" ht="18.5" x14ac:dyDescent="0.35">
      <c r="A10" s="2">
        <v>8</v>
      </c>
      <c r="B10" s="3" t="s">
        <v>70</v>
      </c>
      <c r="C10" s="4">
        <v>5249</v>
      </c>
      <c r="D10" s="10">
        <v>0.67</v>
      </c>
      <c r="E10" s="5">
        <f t="shared" si="0"/>
        <v>1732.1699999999998</v>
      </c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D406B-7356-457D-95B1-74E216D55E53}">
  <dimension ref="A1:E11"/>
  <sheetViews>
    <sheetView tabSelected="1" workbookViewId="0">
      <selection activeCell="B10" sqref="B10"/>
    </sheetView>
  </sheetViews>
  <sheetFormatPr defaultRowHeight="14.5" x14ac:dyDescent="0.35"/>
  <cols>
    <col min="1" max="1" width="12.54296875" customWidth="1"/>
    <col min="2" max="2" width="61.54296875" customWidth="1"/>
    <col min="3" max="3" width="24.7265625" customWidth="1"/>
    <col min="4" max="4" width="18.7265625" customWidth="1"/>
    <col min="5" max="5" width="24.7265625" customWidth="1"/>
  </cols>
  <sheetData>
    <row r="1" spans="1:5" ht="36" x14ac:dyDescent="0.35">
      <c r="A1" s="11" t="s">
        <v>72</v>
      </c>
      <c r="B1" s="12"/>
      <c r="C1" s="12"/>
      <c r="D1" s="12"/>
      <c r="E1" s="13"/>
    </row>
    <row r="2" spans="1:5" ht="23.5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ht="18.5" x14ac:dyDescent="0.35">
      <c r="A3" s="2">
        <v>1</v>
      </c>
      <c r="B3" s="3" t="s">
        <v>78</v>
      </c>
      <c r="C3" s="4">
        <v>12990</v>
      </c>
      <c r="D3" s="10">
        <v>0.11</v>
      </c>
      <c r="E3" s="5">
        <f>C3*(1-D3)</f>
        <v>11561.1</v>
      </c>
    </row>
    <row r="4" spans="1:5" ht="18.5" x14ac:dyDescent="0.35">
      <c r="A4" s="2">
        <v>2</v>
      </c>
      <c r="B4" s="3" t="s">
        <v>77</v>
      </c>
      <c r="C4" s="4">
        <v>18990</v>
      </c>
      <c r="D4" s="10">
        <v>0.11</v>
      </c>
      <c r="E4" s="5">
        <f t="shared" ref="E4:E11" si="0">C4*(1-D4)</f>
        <v>16901.099999999999</v>
      </c>
    </row>
    <row r="5" spans="1:5" ht="18.5" x14ac:dyDescent="0.35">
      <c r="A5" s="2">
        <v>3</v>
      </c>
      <c r="B5" s="3" t="s">
        <v>76</v>
      </c>
      <c r="C5" s="4">
        <v>8590</v>
      </c>
      <c r="D5" s="10">
        <v>0.11</v>
      </c>
      <c r="E5" s="5">
        <f t="shared" si="0"/>
        <v>7645.1</v>
      </c>
    </row>
    <row r="6" spans="1:5" ht="18.5" x14ac:dyDescent="0.35">
      <c r="A6" s="2">
        <v>4</v>
      </c>
      <c r="B6" s="3" t="s">
        <v>73</v>
      </c>
      <c r="C6" s="4">
        <v>13990</v>
      </c>
      <c r="D6" s="10">
        <v>0.11</v>
      </c>
      <c r="E6" s="5">
        <f t="shared" si="0"/>
        <v>12451.1</v>
      </c>
    </row>
    <row r="7" spans="1:5" ht="18.5" x14ac:dyDescent="0.35">
      <c r="A7" s="2">
        <v>5</v>
      </c>
      <c r="B7" s="3" t="s">
        <v>74</v>
      </c>
      <c r="C7" s="4">
        <v>7990</v>
      </c>
      <c r="D7" s="10">
        <v>0.11</v>
      </c>
      <c r="E7" s="5">
        <f t="shared" si="0"/>
        <v>7111.1</v>
      </c>
    </row>
    <row r="8" spans="1:5" ht="18.5" x14ac:dyDescent="0.35">
      <c r="A8" s="2">
        <v>6</v>
      </c>
      <c r="B8" s="3" t="s">
        <v>75</v>
      </c>
      <c r="C8" s="4">
        <v>7990</v>
      </c>
      <c r="D8" s="10">
        <v>0.11</v>
      </c>
      <c r="E8" s="5">
        <f t="shared" si="0"/>
        <v>7111.1</v>
      </c>
    </row>
    <row r="9" spans="1:5" ht="18.5" x14ac:dyDescent="0.35">
      <c r="A9" s="2">
        <v>7</v>
      </c>
      <c r="B9" s="3" t="s">
        <v>79</v>
      </c>
      <c r="C9" s="4">
        <v>9490</v>
      </c>
      <c r="D9" s="10">
        <v>0.11</v>
      </c>
      <c r="E9" s="5">
        <f t="shared" si="0"/>
        <v>8446.1</v>
      </c>
    </row>
    <row r="10" spans="1:5" ht="18.5" x14ac:dyDescent="0.35">
      <c r="A10" s="2">
        <v>8</v>
      </c>
      <c r="B10" s="3" t="s">
        <v>80</v>
      </c>
      <c r="C10" s="4">
        <v>5490</v>
      </c>
      <c r="D10" s="10">
        <v>0.11</v>
      </c>
      <c r="E10" s="5">
        <f t="shared" si="0"/>
        <v>4886.1000000000004</v>
      </c>
    </row>
    <row r="11" spans="1:5" ht="18.5" x14ac:dyDescent="0.35">
      <c r="A11" s="2">
        <v>9</v>
      </c>
      <c r="B11" s="3" t="s">
        <v>79</v>
      </c>
      <c r="C11" s="4">
        <v>9490</v>
      </c>
      <c r="D11" s="10">
        <v>0.11</v>
      </c>
      <c r="E11" s="5">
        <f t="shared" si="0"/>
        <v>8446.1</v>
      </c>
    </row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C6A0F-DC63-4959-B07E-928BCE80C398}">
  <dimension ref="A1:E10"/>
  <sheetViews>
    <sheetView workbookViewId="0">
      <selection activeCell="E3" sqref="E3:E10"/>
    </sheetView>
  </sheetViews>
  <sheetFormatPr defaultRowHeight="14.5" x14ac:dyDescent="0.35"/>
  <cols>
    <col min="1" max="1" width="12.7265625" customWidth="1"/>
    <col min="2" max="2" width="78.54296875" customWidth="1"/>
    <col min="3" max="3" width="28.1796875" customWidth="1"/>
    <col min="4" max="4" width="18.54296875" customWidth="1"/>
    <col min="5" max="5" width="27.26953125" customWidth="1"/>
  </cols>
  <sheetData>
    <row r="1" spans="1:5" ht="36" x14ac:dyDescent="0.35">
      <c r="A1" s="11" t="s">
        <v>102</v>
      </c>
      <c r="B1" s="12"/>
      <c r="C1" s="12"/>
      <c r="D1" s="12"/>
      <c r="E1" s="13"/>
    </row>
    <row r="2" spans="1:5" ht="23.5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ht="18.5" x14ac:dyDescent="0.35">
      <c r="A3" s="2">
        <v>1</v>
      </c>
      <c r="B3" s="3" t="s">
        <v>81</v>
      </c>
      <c r="C3" s="4">
        <v>123890</v>
      </c>
      <c r="D3" s="10">
        <v>0.12</v>
      </c>
      <c r="E3" s="5">
        <f>C3*(1-D3)</f>
        <v>109023.2</v>
      </c>
    </row>
    <row r="4" spans="1:5" ht="18.5" x14ac:dyDescent="0.35">
      <c r="A4" s="2">
        <v>2</v>
      </c>
      <c r="B4" s="3" t="s">
        <v>82</v>
      </c>
      <c r="C4" s="4">
        <v>57130</v>
      </c>
      <c r="D4" s="10">
        <v>0.12</v>
      </c>
      <c r="E4" s="5">
        <f t="shared" ref="E4:E10" si="0">C4*(1-D4)</f>
        <v>50274.400000000001</v>
      </c>
    </row>
    <row r="5" spans="1:5" ht="18.5" x14ac:dyDescent="0.35">
      <c r="A5" s="2">
        <v>3</v>
      </c>
      <c r="B5" s="3" t="s">
        <v>83</v>
      </c>
      <c r="C5" s="4">
        <v>36140</v>
      </c>
      <c r="D5" s="10">
        <v>0.12</v>
      </c>
      <c r="E5" s="5">
        <f t="shared" si="0"/>
        <v>31803.200000000001</v>
      </c>
    </row>
    <row r="6" spans="1:5" ht="18.5" x14ac:dyDescent="0.35">
      <c r="A6" s="2">
        <v>4</v>
      </c>
      <c r="B6" s="3" t="s">
        <v>84</v>
      </c>
      <c r="C6" s="4">
        <v>23749</v>
      </c>
      <c r="D6" s="10">
        <v>0.12</v>
      </c>
      <c r="E6" s="5">
        <f t="shared" si="0"/>
        <v>20899.12</v>
      </c>
    </row>
    <row r="7" spans="1:5" ht="18.5" x14ac:dyDescent="0.35">
      <c r="A7" s="2">
        <v>5</v>
      </c>
      <c r="B7" s="3" t="s">
        <v>85</v>
      </c>
      <c r="C7" s="4">
        <v>282220</v>
      </c>
      <c r="D7" s="10">
        <v>0.12</v>
      </c>
      <c r="E7" s="5">
        <f t="shared" si="0"/>
        <v>248353.6</v>
      </c>
    </row>
    <row r="8" spans="1:5" ht="18.5" x14ac:dyDescent="0.35">
      <c r="A8" s="2">
        <v>6</v>
      </c>
      <c r="B8" s="3" t="s">
        <v>86</v>
      </c>
      <c r="C8" s="4">
        <v>142970</v>
      </c>
      <c r="D8" s="10">
        <v>0.12</v>
      </c>
      <c r="E8" s="5">
        <f t="shared" si="0"/>
        <v>125813.6</v>
      </c>
    </row>
    <row r="9" spans="1:5" ht="18.5" x14ac:dyDescent="0.35">
      <c r="A9" s="2">
        <v>7</v>
      </c>
      <c r="B9" s="3" t="s">
        <v>87</v>
      </c>
      <c r="C9" s="4">
        <v>72390</v>
      </c>
      <c r="D9" s="10">
        <v>0.12</v>
      </c>
      <c r="E9" s="5">
        <f t="shared" si="0"/>
        <v>63703.199999999997</v>
      </c>
    </row>
    <row r="10" spans="1:5" ht="18.5" x14ac:dyDescent="0.35">
      <c r="A10" s="2">
        <v>8</v>
      </c>
      <c r="B10" s="3" t="s">
        <v>88</v>
      </c>
      <c r="C10" s="4">
        <v>36150</v>
      </c>
      <c r="D10" s="10">
        <v>0.12</v>
      </c>
      <c r="E10" s="5">
        <f t="shared" si="0"/>
        <v>31812</v>
      </c>
    </row>
  </sheetData>
  <mergeCells count="1">
    <mergeCell ref="A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62005-3304-4D9A-BC7C-558C2AA0F0CC}">
  <dimension ref="A1:E15"/>
  <sheetViews>
    <sheetView topLeftCell="A4" workbookViewId="0">
      <selection activeCell="D16" sqref="D16"/>
    </sheetView>
  </sheetViews>
  <sheetFormatPr defaultRowHeight="14.5" x14ac:dyDescent="0.35"/>
  <cols>
    <col min="1" max="1" width="13.54296875" customWidth="1"/>
    <col min="2" max="2" width="70.54296875" customWidth="1"/>
    <col min="3" max="3" width="30.54296875" customWidth="1"/>
    <col min="4" max="4" width="17.1796875" customWidth="1"/>
    <col min="5" max="5" width="26.7265625" customWidth="1"/>
  </cols>
  <sheetData>
    <row r="1" spans="1:5" ht="36" x14ac:dyDescent="0.35">
      <c r="A1" s="11" t="s">
        <v>103</v>
      </c>
      <c r="B1" s="12"/>
      <c r="C1" s="12"/>
      <c r="D1" s="12"/>
      <c r="E1" s="13"/>
    </row>
    <row r="2" spans="1:5" ht="23.5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ht="18.5" x14ac:dyDescent="0.35">
      <c r="A3" s="2">
        <v>1</v>
      </c>
      <c r="B3" s="3" t="s">
        <v>89</v>
      </c>
      <c r="C3" s="4">
        <v>57999</v>
      </c>
      <c r="D3" s="10">
        <v>0.14000000000000001</v>
      </c>
      <c r="E3" s="5">
        <f>C3*(1-D3)</f>
        <v>49879.14</v>
      </c>
    </row>
    <row r="4" spans="1:5" ht="18.5" x14ac:dyDescent="0.35">
      <c r="A4" s="2">
        <v>2</v>
      </c>
      <c r="B4" s="3" t="s">
        <v>90</v>
      </c>
      <c r="C4" s="4">
        <v>11990</v>
      </c>
      <c r="D4" s="10">
        <v>0.16</v>
      </c>
      <c r="E4" s="5">
        <f t="shared" ref="E4:E15" si="0">C4*(1-D4)</f>
        <v>10071.6</v>
      </c>
    </row>
    <row r="5" spans="1:5" ht="18.5" x14ac:dyDescent="0.35">
      <c r="A5" s="2">
        <v>3</v>
      </c>
      <c r="B5" s="3" t="s">
        <v>91</v>
      </c>
      <c r="C5" s="4">
        <v>11990</v>
      </c>
      <c r="D5" s="10">
        <v>0.16</v>
      </c>
      <c r="E5" s="5">
        <f t="shared" si="0"/>
        <v>10071.6</v>
      </c>
    </row>
    <row r="6" spans="1:5" ht="18.5" x14ac:dyDescent="0.35">
      <c r="A6" s="2">
        <v>4</v>
      </c>
      <c r="B6" s="3" t="s">
        <v>92</v>
      </c>
      <c r="C6" s="4">
        <v>4399</v>
      </c>
      <c r="D6" s="10">
        <v>0.2</v>
      </c>
      <c r="E6" s="5">
        <f t="shared" si="0"/>
        <v>3519.2000000000003</v>
      </c>
    </row>
    <row r="7" spans="1:5" ht="18.5" x14ac:dyDescent="0.35">
      <c r="A7" s="2">
        <v>5</v>
      </c>
      <c r="B7" s="3" t="s">
        <v>93</v>
      </c>
      <c r="C7" s="4">
        <v>5499</v>
      </c>
      <c r="D7" s="10">
        <v>0.21</v>
      </c>
      <c r="E7" s="5">
        <f t="shared" si="0"/>
        <v>4344.21</v>
      </c>
    </row>
    <row r="8" spans="1:5" ht="18.5" x14ac:dyDescent="0.35">
      <c r="A8" s="2">
        <v>6</v>
      </c>
      <c r="B8" s="3" t="s">
        <v>94</v>
      </c>
      <c r="C8" s="4">
        <v>4399</v>
      </c>
      <c r="D8" s="10">
        <v>0.23</v>
      </c>
      <c r="E8" s="5">
        <f t="shared" si="0"/>
        <v>3387.23</v>
      </c>
    </row>
    <row r="9" spans="1:5" ht="18.5" x14ac:dyDescent="0.35">
      <c r="A9" s="2">
        <v>7</v>
      </c>
      <c r="B9" s="3" t="s">
        <v>95</v>
      </c>
      <c r="C9" s="4">
        <v>3999</v>
      </c>
      <c r="D9" s="10">
        <v>0.2</v>
      </c>
      <c r="E9" s="5">
        <f t="shared" si="0"/>
        <v>3199.2000000000003</v>
      </c>
    </row>
    <row r="10" spans="1:5" ht="18.5" x14ac:dyDescent="0.35">
      <c r="A10" s="2">
        <v>8</v>
      </c>
      <c r="B10" s="3" t="s">
        <v>96</v>
      </c>
      <c r="C10" s="4">
        <v>999</v>
      </c>
      <c r="D10" s="10">
        <v>0.33</v>
      </c>
      <c r="E10" s="5">
        <f t="shared" si="0"/>
        <v>669.32999999999993</v>
      </c>
    </row>
    <row r="11" spans="1:5" ht="18.5" x14ac:dyDescent="0.35">
      <c r="A11" s="2">
        <v>9</v>
      </c>
      <c r="B11" s="3" t="s">
        <v>97</v>
      </c>
      <c r="C11" s="4">
        <v>37990</v>
      </c>
      <c r="D11" s="10">
        <v>0.28999999999999998</v>
      </c>
      <c r="E11" s="5">
        <f t="shared" si="0"/>
        <v>26972.899999999998</v>
      </c>
    </row>
    <row r="12" spans="1:5" ht="18.5" x14ac:dyDescent="0.35">
      <c r="A12" s="2">
        <v>10</v>
      </c>
      <c r="B12" s="3" t="s">
        <v>98</v>
      </c>
      <c r="C12" s="4">
        <v>4990</v>
      </c>
      <c r="D12" s="10">
        <v>0.23</v>
      </c>
      <c r="E12" s="5">
        <f t="shared" si="0"/>
        <v>3842.3</v>
      </c>
    </row>
    <row r="13" spans="1:5" ht="18.5" x14ac:dyDescent="0.35">
      <c r="A13" s="2">
        <v>11</v>
      </c>
      <c r="B13" s="3" t="s">
        <v>99</v>
      </c>
      <c r="C13" s="4">
        <v>3190</v>
      </c>
      <c r="D13" s="10">
        <v>0.21</v>
      </c>
      <c r="E13" s="5">
        <f t="shared" si="0"/>
        <v>2520.1</v>
      </c>
    </row>
    <row r="14" spans="1:5" ht="18.5" x14ac:dyDescent="0.35">
      <c r="A14" s="2">
        <v>12</v>
      </c>
      <c r="B14" s="3" t="s">
        <v>100</v>
      </c>
      <c r="C14" s="4">
        <v>5990</v>
      </c>
      <c r="D14" s="10">
        <v>0.27</v>
      </c>
      <c r="E14" s="5">
        <f t="shared" si="0"/>
        <v>4372.7</v>
      </c>
    </row>
    <row r="15" spans="1:5" ht="18.5" x14ac:dyDescent="0.35">
      <c r="A15" s="2">
        <v>13</v>
      </c>
      <c r="B15" s="3" t="s">
        <v>101</v>
      </c>
      <c r="C15" s="4">
        <v>10490</v>
      </c>
      <c r="D15" s="10">
        <v>0.19</v>
      </c>
      <c r="E15" s="5">
        <f t="shared" si="0"/>
        <v>8496.9000000000015</v>
      </c>
    </row>
  </sheetData>
  <mergeCells count="1">
    <mergeCell ref="A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ADF5E-4156-40D4-BCAC-FE270B5292E5}">
  <dimension ref="A1:E43"/>
  <sheetViews>
    <sheetView workbookViewId="0">
      <selection activeCell="D44" sqref="D44"/>
    </sheetView>
  </sheetViews>
  <sheetFormatPr defaultRowHeight="14.5" x14ac:dyDescent="0.35"/>
  <cols>
    <col min="1" max="1" width="13.54296875" customWidth="1"/>
    <col min="2" max="2" width="57" customWidth="1"/>
    <col min="3" max="3" width="29.54296875" customWidth="1"/>
    <col min="4" max="4" width="20.81640625" customWidth="1"/>
    <col min="5" max="5" width="22.54296875" customWidth="1"/>
  </cols>
  <sheetData>
    <row r="1" spans="1:5" ht="36" x14ac:dyDescent="0.35">
      <c r="A1" s="11" t="s">
        <v>104</v>
      </c>
      <c r="B1" s="12"/>
      <c r="C1" s="12"/>
      <c r="D1" s="12"/>
      <c r="E1" s="13"/>
    </row>
    <row r="2" spans="1:5" ht="23.5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ht="18.5" x14ac:dyDescent="0.35">
      <c r="A3" s="2">
        <v>1</v>
      </c>
      <c r="B3" s="3" t="s">
        <v>106</v>
      </c>
      <c r="C3" s="4">
        <v>36290</v>
      </c>
      <c r="D3" s="10">
        <v>0.1</v>
      </c>
      <c r="E3" s="5">
        <f>C3*(1-D3)</f>
        <v>32661</v>
      </c>
    </row>
    <row r="4" spans="1:5" ht="18.5" x14ac:dyDescent="0.35">
      <c r="A4" s="2">
        <v>2</v>
      </c>
      <c r="B4" s="3" t="s">
        <v>107</v>
      </c>
      <c r="C4" s="4">
        <v>34995</v>
      </c>
      <c r="D4" s="10">
        <v>0.1</v>
      </c>
      <c r="E4" s="5">
        <f t="shared" ref="E4:E43" si="0">C4*(1-D4)</f>
        <v>31495.5</v>
      </c>
    </row>
    <row r="5" spans="1:5" ht="18.5" x14ac:dyDescent="0.35">
      <c r="A5" s="2">
        <v>3</v>
      </c>
      <c r="B5" s="3" t="s">
        <v>108</v>
      </c>
      <c r="C5" s="4">
        <v>45995</v>
      </c>
      <c r="D5" s="10">
        <v>0.11</v>
      </c>
      <c r="E5" s="5">
        <f t="shared" si="0"/>
        <v>40935.550000000003</v>
      </c>
    </row>
    <row r="6" spans="1:5" ht="18.5" x14ac:dyDescent="0.35">
      <c r="A6" s="2">
        <v>4</v>
      </c>
      <c r="B6" s="3" t="s">
        <v>109</v>
      </c>
      <c r="C6" s="4">
        <v>99995</v>
      </c>
      <c r="D6" s="10">
        <v>0.17</v>
      </c>
      <c r="E6" s="5">
        <f t="shared" si="0"/>
        <v>82995.849999999991</v>
      </c>
    </row>
    <row r="7" spans="1:5" ht="18.5" x14ac:dyDescent="0.35">
      <c r="A7" s="2">
        <v>5</v>
      </c>
      <c r="B7" s="3" t="s">
        <v>109</v>
      </c>
      <c r="C7" s="4">
        <v>104995</v>
      </c>
      <c r="D7" s="10">
        <v>0.13</v>
      </c>
      <c r="E7" s="5">
        <f t="shared" si="0"/>
        <v>91345.65</v>
      </c>
    </row>
    <row r="8" spans="1:5" ht="18.5" x14ac:dyDescent="0.35">
      <c r="A8" s="2">
        <v>6</v>
      </c>
      <c r="B8" s="3" t="s">
        <v>110</v>
      </c>
      <c r="C8" s="4">
        <v>64999</v>
      </c>
      <c r="D8" s="10">
        <v>0.09</v>
      </c>
      <c r="E8" s="5">
        <f t="shared" si="0"/>
        <v>59149.090000000004</v>
      </c>
    </row>
    <row r="9" spans="1:5" ht="18.5" x14ac:dyDescent="0.35">
      <c r="A9" s="2">
        <v>7</v>
      </c>
      <c r="B9" s="3" t="s">
        <v>111</v>
      </c>
      <c r="C9" s="4">
        <v>48500</v>
      </c>
      <c r="D9" s="10">
        <v>0.11</v>
      </c>
      <c r="E9" s="5">
        <f t="shared" si="0"/>
        <v>43165</v>
      </c>
    </row>
    <row r="10" spans="1:5" ht="18.5" x14ac:dyDescent="0.35">
      <c r="A10" s="2">
        <v>8</v>
      </c>
      <c r="B10" s="3" t="s">
        <v>112</v>
      </c>
      <c r="C10" s="4">
        <v>38995</v>
      </c>
      <c r="D10" s="10">
        <v>7.0000000000000007E-2</v>
      </c>
      <c r="E10" s="5">
        <f t="shared" si="0"/>
        <v>36265.35</v>
      </c>
    </row>
    <row r="11" spans="1:5" ht="18.5" x14ac:dyDescent="0.35">
      <c r="A11" s="2">
        <v>9</v>
      </c>
      <c r="B11" s="3" t="s">
        <v>113</v>
      </c>
      <c r="C11" s="4">
        <v>24999</v>
      </c>
      <c r="D11" s="10">
        <v>0.25</v>
      </c>
      <c r="E11" s="5">
        <f t="shared" si="0"/>
        <v>18749.25</v>
      </c>
    </row>
    <row r="12" spans="1:5" ht="18.5" x14ac:dyDescent="0.35">
      <c r="A12" s="2">
        <v>10</v>
      </c>
      <c r="B12" s="3" t="s">
        <v>114</v>
      </c>
      <c r="C12" s="4">
        <v>14200</v>
      </c>
      <c r="D12" s="10">
        <v>0.2</v>
      </c>
      <c r="E12" s="5">
        <f t="shared" si="0"/>
        <v>11360</v>
      </c>
    </row>
    <row r="13" spans="1:5" ht="18.5" x14ac:dyDescent="0.35">
      <c r="A13" s="2">
        <v>11</v>
      </c>
      <c r="B13" s="3" t="s">
        <v>115</v>
      </c>
      <c r="C13" s="4">
        <v>11500</v>
      </c>
      <c r="D13" s="10">
        <v>0.25</v>
      </c>
      <c r="E13" s="5">
        <f t="shared" si="0"/>
        <v>8625</v>
      </c>
    </row>
    <row r="14" spans="1:5" ht="18.5" x14ac:dyDescent="0.35">
      <c r="A14" s="2">
        <v>12</v>
      </c>
      <c r="B14" s="3" t="s">
        <v>116</v>
      </c>
      <c r="C14" s="4">
        <v>5995</v>
      </c>
      <c r="D14" s="10">
        <v>0.3</v>
      </c>
      <c r="E14" s="5">
        <f t="shared" si="0"/>
        <v>4196.5</v>
      </c>
    </row>
    <row r="15" spans="1:5" ht="18.5" x14ac:dyDescent="0.35">
      <c r="A15" s="2">
        <v>13</v>
      </c>
      <c r="B15" s="3" t="s">
        <v>117</v>
      </c>
      <c r="C15" s="4">
        <v>12499</v>
      </c>
      <c r="D15" s="10">
        <v>0.33</v>
      </c>
      <c r="E15" s="5">
        <f t="shared" si="0"/>
        <v>8374.33</v>
      </c>
    </row>
    <row r="16" spans="1:5" ht="18.5" x14ac:dyDescent="0.35">
      <c r="A16" s="2">
        <v>14</v>
      </c>
      <c r="B16" s="3" t="s">
        <v>118</v>
      </c>
      <c r="C16" s="4">
        <v>21999</v>
      </c>
      <c r="D16" s="10">
        <v>0.28999999999999998</v>
      </c>
      <c r="E16" s="5">
        <f t="shared" si="0"/>
        <v>15619.289999999999</v>
      </c>
    </row>
    <row r="17" spans="1:5" ht="18.5" x14ac:dyDescent="0.35">
      <c r="A17" s="2">
        <v>15</v>
      </c>
      <c r="B17" s="3" t="s">
        <v>119</v>
      </c>
      <c r="C17" s="4">
        <v>4499</v>
      </c>
      <c r="D17" s="10">
        <v>0.3</v>
      </c>
      <c r="E17" s="5">
        <f t="shared" si="0"/>
        <v>3149.2999999999997</v>
      </c>
    </row>
    <row r="18" spans="1:5" ht="18.5" x14ac:dyDescent="0.35">
      <c r="A18" s="2">
        <v>16</v>
      </c>
      <c r="B18" s="3" t="s">
        <v>120</v>
      </c>
      <c r="C18" s="4">
        <v>3999</v>
      </c>
      <c r="D18" s="10">
        <v>0.22</v>
      </c>
      <c r="E18" s="5">
        <f t="shared" si="0"/>
        <v>3119.2200000000003</v>
      </c>
    </row>
    <row r="19" spans="1:5" ht="18.5" x14ac:dyDescent="0.35">
      <c r="A19" s="2">
        <v>17</v>
      </c>
      <c r="B19" s="3" t="s">
        <v>121</v>
      </c>
      <c r="C19" s="4">
        <v>27960</v>
      </c>
      <c r="D19" s="10">
        <v>0.37</v>
      </c>
      <c r="E19" s="5">
        <f t="shared" si="0"/>
        <v>17614.8</v>
      </c>
    </row>
    <row r="20" spans="1:5" ht="18.5" x14ac:dyDescent="0.35">
      <c r="A20" s="2">
        <v>18</v>
      </c>
      <c r="B20" s="3" t="s">
        <v>122</v>
      </c>
      <c r="C20" s="4">
        <v>35899</v>
      </c>
      <c r="D20" s="10">
        <v>0.15</v>
      </c>
      <c r="E20" s="5">
        <f t="shared" si="0"/>
        <v>30514.149999999998</v>
      </c>
    </row>
    <row r="21" spans="1:5" ht="18.5" x14ac:dyDescent="0.35">
      <c r="A21" s="2">
        <v>19</v>
      </c>
      <c r="B21" s="3" t="s">
        <v>123</v>
      </c>
      <c r="C21" s="4">
        <v>29989</v>
      </c>
      <c r="D21" s="10">
        <v>0.21</v>
      </c>
      <c r="E21" s="5">
        <f t="shared" si="0"/>
        <v>23691.31</v>
      </c>
    </row>
    <row r="22" spans="1:5" ht="18.5" x14ac:dyDescent="0.35">
      <c r="A22" s="2">
        <v>20</v>
      </c>
      <c r="B22" s="3" t="s">
        <v>124</v>
      </c>
      <c r="C22" s="4">
        <v>29989</v>
      </c>
      <c r="D22" s="10">
        <v>0.17</v>
      </c>
      <c r="E22" s="5">
        <f t="shared" si="0"/>
        <v>24890.87</v>
      </c>
    </row>
    <row r="23" spans="1:5" ht="18.5" x14ac:dyDescent="0.35">
      <c r="A23" s="2">
        <v>21</v>
      </c>
      <c r="B23" s="3" t="s">
        <v>125</v>
      </c>
      <c r="C23" s="4">
        <v>19999</v>
      </c>
      <c r="D23" s="10">
        <v>0.21</v>
      </c>
      <c r="E23" s="5">
        <f t="shared" si="0"/>
        <v>15799.210000000001</v>
      </c>
    </row>
    <row r="24" spans="1:5" ht="18.5" x14ac:dyDescent="0.35">
      <c r="A24" s="2">
        <v>22</v>
      </c>
      <c r="B24" s="3" t="s">
        <v>126</v>
      </c>
      <c r="C24" s="4">
        <v>25499</v>
      </c>
      <c r="D24" s="10">
        <v>0.19</v>
      </c>
      <c r="E24" s="5">
        <f t="shared" si="0"/>
        <v>20654.190000000002</v>
      </c>
    </row>
    <row r="25" spans="1:5" ht="18.5" x14ac:dyDescent="0.35">
      <c r="A25" s="2">
        <v>23</v>
      </c>
      <c r="B25" s="3" t="s">
        <v>127</v>
      </c>
      <c r="C25" s="4">
        <v>21299</v>
      </c>
      <c r="D25" s="10">
        <v>7.0000000000000007E-2</v>
      </c>
      <c r="E25" s="5">
        <f t="shared" si="0"/>
        <v>19808.07</v>
      </c>
    </row>
    <row r="26" spans="1:5" ht="18.5" x14ac:dyDescent="0.35">
      <c r="A26" s="2">
        <v>24</v>
      </c>
      <c r="B26" s="3" t="s">
        <v>128</v>
      </c>
      <c r="C26" s="4">
        <v>19499</v>
      </c>
      <c r="D26" s="10">
        <v>0.18</v>
      </c>
      <c r="E26" s="5">
        <f t="shared" si="0"/>
        <v>15989.180000000002</v>
      </c>
    </row>
    <row r="27" spans="1:5" ht="18.5" x14ac:dyDescent="0.35">
      <c r="A27" s="2">
        <v>25</v>
      </c>
      <c r="B27" s="3" t="s">
        <v>129</v>
      </c>
      <c r="C27" s="4">
        <v>24999</v>
      </c>
      <c r="D27" s="10">
        <v>0.09</v>
      </c>
      <c r="E27" s="5">
        <f t="shared" si="0"/>
        <v>22749.09</v>
      </c>
    </row>
    <row r="28" spans="1:5" ht="18.5" x14ac:dyDescent="0.35">
      <c r="A28" s="2">
        <v>26</v>
      </c>
      <c r="B28" s="3" t="s">
        <v>130</v>
      </c>
      <c r="C28" s="4">
        <v>68999</v>
      </c>
      <c r="D28" s="10">
        <v>0.17</v>
      </c>
      <c r="E28" s="5">
        <f t="shared" si="0"/>
        <v>57269.17</v>
      </c>
    </row>
    <row r="29" spans="1:5" ht="18.5" x14ac:dyDescent="0.35">
      <c r="A29" s="2">
        <v>27</v>
      </c>
      <c r="B29" s="3" t="s">
        <v>131</v>
      </c>
      <c r="C29" s="4">
        <v>79999</v>
      </c>
      <c r="D29" s="10">
        <v>0.19</v>
      </c>
      <c r="E29" s="5">
        <f t="shared" si="0"/>
        <v>64799.19</v>
      </c>
    </row>
    <row r="30" spans="1:5" ht="18.5" x14ac:dyDescent="0.35">
      <c r="A30" s="2">
        <v>28</v>
      </c>
      <c r="B30" s="3" t="s">
        <v>132</v>
      </c>
      <c r="C30" s="4">
        <v>52499</v>
      </c>
      <c r="D30" s="10">
        <v>0.11</v>
      </c>
      <c r="E30" s="5">
        <f t="shared" si="0"/>
        <v>46724.11</v>
      </c>
    </row>
    <row r="31" spans="1:5" ht="18.5" x14ac:dyDescent="0.35">
      <c r="A31" s="2">
        <v>29</v>
      </c>
      <c r="B31" s="3" t="s">
        <v>133</v>
      </c>
      <c r="C31" s="4">
        <v>7999</v>
      </c>
      <c r="D31" s="10">
        <v>0.21</v>
      </c>
      <c r="E31" s="5">
        <f t="shared" si="0"/>
        <v>6319.21</v>
      </c>
    </row>
    <row r="32" spans="1:5" ht="18.5" x14ac:dyDescent="0.35">
      <c r="A32" s="2">
        <v>30</v>
      </c>
      <c r="B32" s="3" t="s">
        <v>134</v>
      </c>
      <c r="C32" s="4">
        <v>13999</v>
      </c>
      <c r="D32" s="10">
        <v>0.17</v>
      </c>
      <c r="E32" s="5">
        <f t="shared" si="0"/>
        <v>11619.17</v>
      </c>
    </row>
    <row r="33" spans="1:5" ht="18.5" x14ac:dyDescent="0.35">
      <c r="A33" s="2">
        <v>31</v>
      </c>
      <c r="B33" s="3" t="s">
        <v>135</v>
      </c>
      <c r="C33" s="4">
        <v>11499</v>
      </c>
      <c r="D33" s="10">
        <v>0.19</v>
      </c>
      <c r="E33" s="5">
        <f t="shared" si="0"/>
        <v>9314.19</v>
      </c>
    </row>
    <row r="34" spans="1:5" ht="18.5" x14ac:dyDescent="0.35">
      <c r="A34" s="2">
        <v>32</v>
      </c>
      <c r="B34" s="3" t="s">
        <v>136</v>
      </c>
      <c r="C34" s="4">
        <v>18999</v>
      </c>
      <c r="D34" s="10">
        <v>0.21</v>
      </c>
      <c r="E34" s="5">
        <f t="shared" si="0"/>
        <v>15009.210000000001</v>
      </c>
    </row>
    <row r="35" spans="1:5" ht="18.5" x14ac:dyDescent="0.35">
      <c r="A35" s="2">
        <v>33</v>
      </c>
      <c r="B35" s="3" t="s">
        <v>137</v>
      </c>
      <c r="C35" s="4">
        <v>23499</v>
      </c>
      <c r="D35" s="10">
        <v>0.17</v>
      </c>
      <c r="E35" s="5">
        <f t="shared" si="0"/>
        <v>19504.169999999998</v>
      </c>
    </row>
    <row r="36" spans="1:5" ht="18.5" x14ac:dyDescent="0.35">
      <c r="A36" s="2">
        <v>34</v>
      </c>
      <c r="B36" s="3" t="s">
        <v>138</v>
      </c>
      <c r="C36" s="4">
        <v>29999</v>
      </c>
      <c r="D36" s="10">
        <v>0.21</v>
      </c>
      <c r="E36" s="5">
        <f t="shared" si="0"/>
        <v>23699.210000000003</v>
      </c>
    </row>
    <row r="37" spans="1:5" ht="18.5" x14ac:dyDescent="0.35">
      <c r="A37" s="2">
        <v>35</v>
      </c>
      <c r="B37" s="3" t="s">
        <v>139</v>
      </c>
      <c r="C37" s="4">
        <v>16999</v>
      </c>
      <c r="D37" s="10">
        <v>0.13</v>
      </c>
      <c r="E37" s="5">
        <f t="shared" si="0"/>
        <v>14789.13</v>
      </c>
    </row>
    <row r="38" spans="1:5" ht="18.5" x14ac:dyDescent="0.35">
      <c r="A38" s="2">
        <v>36</v>
      </c>
      <c r="B38" s="3" t="s">
        <v>140</v>
      </c>
      <c r="C38" s="4">
        <v>27999</v>
      </c>
      <c r="D38" s="10">
        <v>0.18</v>
      </c>
      <c r="E38" s="5">
        <f t="shared" si="0"/>
        <v>22959.18</v>
      </c>
    </row>
    <row r="39" spans="1:5" ht="18.5" x14ac:dyDescent="0.35">
      <c r="A39" s="2">
        <v>37</v>
      </c>
      <c r="B39" s="3" t="s">
        <v>141</v>
      </c>
      <c r="C39" s="4">
        <v>22499</v>
      </c>
      <c r="D39" s="10">
        <v>0.2</v>
      </c>
      <c r="E39" s="5">
        <f t="shared" si="0"/>
        <v>17999.2</v>
      </c>
    </row>
    <row r="40" spans="1:5" ht="18.5" x14ac:dyDescent="0.35">
      <c r="A40" s="2">
        <v>38</v>
      </c>
      <c r="B40" s="3" t="s">
        <v>142</v>
      </c>
      <c r="C40" s="4">
        <v>17999</v>
      </c>
      <c r="D40" s="10">
        <v>0.13</v>
      </c>
      <c r="E40" s="5">
        <f t="shared" si="0"/>
        <v>15659.13</v>
      </c>
    </row>
    <row r="41" spans="1:5" ht="18.5" x14ac:dyDescent="0.35">
      <c r="A41" s="2">
        <v>39</v>
      </c>
      <c r="B41" s="3" t="s">
        <v>143</v>
      </c>
      <c r="C41" s="4">
        <v>14499</v>
      </c>
      <c r="D41" s="10">
        <v>0.19</v>
      </c>
      <c r="E41" s="5">
        <f t="shared" si="0"/>
        <v>11744.19</v>
      </c>
    </row>
    <row r="42" spans="1:5" ht="18.5" x14ac:dyDescent="0.35">
      <c r="A42" s="2">
        <v>40</v>
      </c>
      <c r="B42" s="3" t="s">
        <v>144</v>
      </c>
      <c r="C42" s="4">
        <v>19999</v>
      </c>
      <c r="D42" s="10">
        <v>0.23</v>
      </c>
      <c r="E42" s="5">
        <f t="shared" si="0"/>
        <v>15399.23</v>
      </c>
    </row>
    <row r="43" spans="1:5" ht="18.5" x14ac:dyDescent="0.35">
      <c r="A43" s="2">
        <v>41</v>
      </c>
      <c r="B43" s="3" t="s">
        <v>145</v>
      </c>
      <c r="C43" s="4">
        <v>18499</v>
      </c>
      <c r="D43" s="10">
        <v>0.11</v>
      </c>
      <c r="E43" s="5">
        <f t="shared" si="0"/>
        <v>16464.11</v>
      </c>
    </row>
  </sheetData>
  <mergeCells count="1">
    <mergeCell ref="A1:E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8953F-048E-451F-87A8-F4494CB74FEF}">
  <dimension ref="A1:E9"/>
  <sheetViews>
    <sheetView topLeftCell="A5" workbookViewId="0">
      <selection activeCell="C6" sqref="C6"/>
    </sheetView>
  </sheetViews>
  <sheetFormatPr defaultRowHeight="14.5" x14ac:dyDescent="0.35"/>
  <cols>
    <col min="1" max="1" width="13.453125" customWidth="1"/>
    <col min="2" max="2" width="53.54296875" customWidth="1"/>
    <col min="3" max="3" width="27.54296875" customWidth="1"/>
    <col min="4" max="4" width="21.1796875" customWidth="1"/>
    <col min="5" max="5" width="26.1796875" customWidth="1"/>
  </cols>
  <sheetData>
    <row r="1" spans="1:5" ht="36" x14ac:dyDescent="0.35">
      <c r="A1" s="11" t="s">
        <v>105</v>
      </c>
      <c r="B1" s="12"/>
      <c r="C1" s="12"/>
      <c r="D1" s="12"/>
      <c r="E1" s="13"/>
    </row>
    <row r="2" spans="1:5" ht="23.5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ht="18.5" x14ac:dyDescent="0.35">
      <c r="A3" s="2">
        <v>1</v>
      </c>
      <c r="B3" s="3" t="s">
        <v>146</v>
      </c>
      <c r="C3" s="4">
        <v>53999</v>
      </c>
      <c r="D3" s="10">
        <v>0.1</v>
      </c>
      <c r="E3" s="5">
        <f>C3*(1-D3)</f>
        <v>48599.1</v>
      </c>
    </row>
    <row r="4" spans="1:5" ht="37" x14ac:dyDescent="0.35">
      <c r="A4" s="2">
        <v>2</v>
      </c>
      <c r="B4" s="9" t="s">
        <v>147</v>
      </c>
      <c r="C4" s="4">
        <v>47463</v>
      </c>
      <c r="D4" s="10">
        <v>0.13</v>
      </c>
      <c r="E4" s="5">
        <f t="shared" ref="E4:E9" si="0">C4*(1-D4)</f>
        <v>41292.81</v>
      </c>
    </row>
    <row r="5" spans="1:5" ht="37" x14ac:dyDescent="0.35">
      <c r="A5" s="2">
        <v>3</v>
      </c>
      <c r="B5" s="9" t="s">
        <v>148</v>
      </c>
      <c r="C5" s="4">
        <v>56533</v>
      </c>
      <c r="D5" s="10">
        <v>0.11</v>
      </c>
      <c r="E5" s="5">
        <f t="shared" si="0"/>
        <v>50314.37</v>
      </c>
    </row>
    <row r="6" spans="1:5" ht="37" x14ac:dyDescent="0.35">
      <c r="A6" s="2">
        <v>4</v>
      </c>
      <c r="B6" s="9" t="s">
        <v>149</v>
      </c>
      <c r="C6" s="4">
        <v>34999</v>
      </c>
      <c r="D6" s="10">
        <v>7.0000000000000007E-2</v>
      </c>
      <c r="E6" s="5">
        <f t="shared" si="0"/>
        <v>32549.069999999996</v>
      </c>
    </row>
    <row r="7" spans="1:5" ht="37" x14ac:dyDescent="0.35">
      <c r="A7" s="2">
        <v>5</v>
      </c>
      <c r="B7" s="9" t="s">
        <v>150</v>
      </c>
      <c r="C7" s="4">
        <v>31999</v>
      </c>
      <c r="D7" s="10">
        <v>0.09</v>
      </c>
      <c r="E7" s="5">
        <f t="shared" si="0"/>
        <v>29119.09</v>
      </c>
    </row>
    <row r="8" spans="1:5" ht="37" x14ac:dyDescent="0.35">
      <c r="A8" s="2">
        <v>6</v>
      </c>
      <c r="B8" s="9" t="s">
        <v>151</v>
      </c>
      <c r="C8" s="4">
        <v>41212</v>
      </c>
      <c r="D8" s="10">
        <v>0.1</v>
      </c>
      <c r="E8" s="5">
        <f t="shared" si="0"/>
        <v>37090.800000000003</v>
      </c>
    </row>
    <row r="9" spans="1:5" ht="37" x14ac:dyDescent="0.35">
      <c r="A9" s="2">
        <v>7</v>
      </c>
      <c r="B9" s="9" t="s">
        <v>152</v>
      </c>
      <c r="C9" s="4">
        <v>25999</v>
      </c>
      <c r="D9" s="10">
        <v>0.14000000000000001</v>
      </c>
      <c r="E9" s="5">
        <f t="shared" si="0"/>
        <v>22359.14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CONTROLLERS</vt:lpstr>
      <vt:lpstr>CHARGING</vt:lpstr>
      <vt:lpstr>AUDIO</vt:lpstr>
      <vt:lpstr>STORAGE</vt:lpstr>
      <vt:lpstr>VR &amp; AR</vt:lpstr>
      <vt:lpstr>RACING</vt:lpstr>
      <vt:lpstr>ARCADE &amp; FIGHTING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Shashwat Shukla</dc:creator>
  <cp:lastModifiedBy>Shashwat Shukla</cp:lastModifiedBy>
  <dcterms:created xsi:type="dcterms:W3CDTF">2015-06-05T18:17:20Z</dcterms:created>
  <dcterms:modified xsi:type="dcterms:W3CDTF">2026-08-12T09:47:20Z</dcterms:modified>
</cp:coreProperties>
</file>